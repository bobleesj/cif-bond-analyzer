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mac/Downloads/CBA/"/>
    </mc:Choice>
  </mc:AlternateContent>
  <xr:revisionPtr revIDLastSave="0" documentId="13_ncr:1_{EC65795C-51E2-3D42-8AC5-AAB341F2C246}" xr6:coauthVersionLast="47" xr6:coauthVersionMax="47" xr10:uidLastSave="{00000000-0000-0000-0000-000000000000}"/>
  <bookViews>
    <workbookView xWindow="19640" yWindow="500" windowWidth="24820" windowHeight="2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3" i="1" l="1"/>
  <c r="N13" i="1"/>
  <c r="O13" i="1"/>
  <c r="P13" i="1"/>
  <c r="Q13" i="1"/>
  <c r="R13" i="1"/>
  <c r="M14" i="1"/>
  <c r="N14" i="1"/>
  <c r="O14" i="1"/>
  <c r="P14" i="1"/>
  <c r="Q14" i="1"/>
  <c r="R14" i="1"/>
  <c r="M15" i="1"/>
  <c r="N15" i="1"/>
  <c r="O15" i="1"/>
  <c r="P15" i="1"/>
  <c r="Q15" i="1"/>
  <c r="R15" i="1"/>
  <c r="L14" i="1"/>
  <c r="L13" i="1"/>
  <c r="L12" i="1"/>
  <c r="M12" i="1" s="1"/>
  <c r="N12" i="1"/>
  <c r="O12" i="1"/>
  <c r="P12" i="1"/>
  <c r="Q12" i="1"/>
  <c r="R12" i="1"/>
  <c r="P10" i="1"/>
  <c r="Q10" i="1"/>
  <c r="N2" i="1"/>
  <c r="O2" i="1"/>
  <c r="L3" i="1"/>
  <c r="M3" i="1" s="1"/>
  <c r="L4" i="1"/>
  <c r="R4" i="1" s="1"/>
  <c r="L5" i="1"/>
  <c r="M5" i="1" s="1"/>
  <c r="L6" i="1"/>
  <c r="N6" i="1" s="1"/>
  <c r="L7" i="1"/>
  <c r="M7" i="1" s="1"/>
  <c r="L8" i="1"/>
  <c r="O8" i="1" s="1"/>
  <c r="L9" i="1"/>
  <c r="Q9" i="1" s="1"/>
  <c r="L10" i="1"/>
  <c r="N10" i="1" s="1"/>
  <c r="L11" i="1"/>
  <c r="P11" i="1" s="1"/>
  <c r="L2" i="1"/>
  <c r="M2" i="1" s="1"/>
  <c r="P4" i="1" l="1"/>
  <c r="O4" i="1"/>
  <c r="M4" i="1"/>
  <c r="P2" i="1"/>
  <c r="R3" i="1"/>
  <c r="M6" i="1"/>
  <c r="R5" i="1"/>
  <c r="R2" i="1"/>
  <c r="Q5" i="1"/>
  <c r="N11" i="1"/>
  <c r="Q8" i="1"/>
  <c r="M11" i="1"/>
  <c r="O7" i="1"/>
  <c r="Q2" i="1"/>
  <c r="R10" i="1"/>
  <c r="N7" i="1"/>
  <c r="N4" i="1"/>
  <c r="R11" i="1"/>
  <c r="M10" i="1"/>
  <c r="P5" i="1"/>
  <c r="O3" i="1"/>
  <c r="O10" i="1"/>
  <c r="Q3" i="1"/>
  <c r="O11" i="1"/>
  <c r="R9" i="1"/>
  <c r="Q4" i="1"/>
  <c r="N3" i="1"/>
  <c r="P8" i="1"/>
  <c r="P9" i="1"/>
  <c r="N8" i="1"/>
  <c r="R6" i="1"/>
  <c r="O9" i="1"/>
  <c r="M8" i="1"/>
  <c r="Q6" i="1"/>
  <c r="O5" i="1"/>
  <c r="N9" i="1"/>
  <c r="R7" i="1"/>
  <c r="P6" i="1"/>
  <c r="N5" i="1"/>
  <c r="Q11" i="1"/>
  <c r="M9" i="1"/>
  <c r="Q7" i="1"/>
  <c r="O6" i="1"/>
  <c r="R8" i="1"/>
  <c r="P7" i="1"/>
  <c r="P3" i="1"/>
</calcChain>
</file>

<file path=xl/sharedStrings.xml><?xml version="1.0" encoding="utf-8"?>
<sst xmlns="http://schemas.openxmlformats.org/spreadsheetml/2006/main" count="52" uniqueCount="50">
  <si>
    <t>Structure</t>
  </si>
  <si>
    <t>Er-Er</t>
  </si>
  <si>
    <t>Er-Co</t>
  </si>
  <si>
    <t>Co-Co</t>
  </si>
  <si>
    <t>Co-In</t>
  </si>
  <si>
    <t>In-In</t>
  </si>
  <si>
    <t>Er-In</t>
  </si>
  <si>
    <t>Ho6Co2Ga</t>
  </si>
  <si>
    <t>Nd11Pd4In9</t>
  </si>
  <si>
    <t>MgCu4Sn</t>
  </si>
  <si>
    <t>Lu14Co2In3</t>
  </si>
  <si>
    <t>Lu3Co2In4</t>
  </si>
  <si>
    <t>Pr8CoGa3</t>
  </si>
  <si>
    <t>Gd14Co3In2.7</t>
  </si>
  <si>
    <t>Ho2CoGa8</t>
  </si>
  <si>
    <t>HoCoGa5</t>
  </si>
  <si>
    <t>Ho10Ni9In20</t>
  </si>
  <si>
    <t>Er %</t>
  </si>
  <si>
    <t>Co %</t>
  </si>
  <si>
    <t>In %</t>
  </si>
  <si>
    <t>Formula</t>
  </si>
  <si>
    <t>Er6Co2.19In0.81</t>
  </si>
  <si>
    <t>Er11Co4In9</t>
  </si>
  <si>
    <t>Er14Co2In3</t>
  </si>
  <si>
    <t>Er3Co1.87In4</t>
  </si>
  <si>
    <t>Er14Co3In3</t>
  </si>
  <si>
    <t>Er8Co1In3</t>
  </si>
  <si>
    <t>Er1Co1In5</t>
  </si>
  <si>
    <t>Er1Co2.68In0.32</t>
  </si>
  <si>
    <t>Er1Co4In1</t>
  </si>
  <si>
    <t>Er2Co1In8</t>
  </si>
  <si>
    <t>Total</t>
  </si>
  <si>
    <t>Er-Er-frac</t>
  </si>
  <si>
    <t>Er-In-frac</t>
  </si>
  <si>
    <t>Er-Co-frac</t>
  </si>
  <si>
    <t>Co-Co-frac</t>
  </si>
  <si>
    <t>Co-In-frac</t>
  </si>
  <si>
    <t>In-In-frac</t>
  </si>
  <si>
    <t>Er</t>
  </si>
  <si>
    <t>Co</t>
  </si>
  <si>
    <t>In</t>
  </si>
  <si>
    <t>Er1Co0In0</t>
  </si>
  <si>
    <t>Er0Co1In0</t>
  </si>
  <si>
    <t>Er0Co0In1</t>
  </si>
  <si>
    <t>IrIn3</t>
  </si>
  <si>
    <t>RuIn3</t>
  </si>
  <si>
    <t>Mg2Cu</t>
  </si>
  <si>
    <t>U3Si2</t>
  </si>
  <si>
    <t>Er0Co1In3</t>
  </si>
  <si>
    <t>Er0Co1In2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</si>
</sst>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64" fontId="1" fillId="0" borderId="0" xfId="0" applyNumberFormat="1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zoomScale="114" workbookViewId="0">
      <selection activeCell="G12" sqref="G12"/>
    </sheetView>
  </sheetViews>
  <sheetFormatPr baseColWidth="10" defaultColWidth="8.83203125" defaultRowHeight="15" x14ac:dyDescent="0.2"/>
  <cols>
    <col min="1" max="1" width="15" customWidth="1"/>
    <col min="2" max="2" width="11.83203125" customWidth="1"/>
  </cols>
  <sheetData>
    <row r="1" spans="1:18" x14ac:dyDescent="0.2">
      <c r="A1" s="1" t="s">
        <v>20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4" t="s">
        <v>31</v>
      </c>
      <c r="M1" s="1" t="s">
        <v>32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33</v>
      </c>
    </row>
    <row r="2" spans="1:18" x14ac:dyDescent="0.2">
      <c r="A2" t="s">
        <v>21</v>
      </c>
      <c r="B2" t="s">
        <v>7</v>
      </c>
      <c r="C2" s="2">
        <v>0.66666666666666663</v>
      </c>
      <c r="D2" s="2">
        <v>0.24333333333333332</v>
      </c>
      <c r="E2" s="2">
        <v>9.0000000000000011E-2</v>
      </c>
      <c r="F2">
        <v>0</v>
      </c>
      <c r="G2">
        <v>4</v>
      </c>
      <c r="H2">
        <v>2</v>
      </c>
      <c r="I2">
        <v>0</v>
      </c>
      <c r="J2">
        <v>0</v>
      </c>
      <c r="K2">
        <v>2</v>
      </c>
      <c r="L2" s="3">
        <f>SUM(F2:K2)</f>
        <v>8</v>
      </c>
      <c r="M2" s="2">
        <f>F2/$L2</f>
        <v>0</v>
      </c>
      <c r="N2" s="5">
        <f t="shared" ref="N2:R2" si="0">G2/$L2</f>
        <v>0.5</v>
      </c>
      <c r="O2" s="2">
        <f t="shared" si="0"/>
        <v>0.25</v>
      </c>
      <c r="P2" s="2">
        <f t="shared" si="0"/>
        <v>0</v>
      </c>
      <c r="Q2" s="2">
        <f t="shared" si="0"/>
        <v>0</v>
      </c>
      <c r="R2" s="2">
        <f t="shared" si="0"/>
        <v>0.25</v>
      </c>
    </row>
    <row r="3" spans="1:18" x14ac:dyDescent="0.2">
      <c r="A3" t="s">
        <v>22</v>
      </c>
      <c r="B3" t="s">
        <v>8</v>
      </c>
      <c r="C3" s="2">
        <v>0.45833333333333331</v>
      </c>
      <c r="D3" s="2">
        <v>0.16666666666666666</v>
      </c>
      <c r="E3" s="2">
        <v>0.375</v>
      </c>
      <c r="F3">
        <v>0</v>
      </c>
      <c r="G3">
        <v>3</v>
      </c>
      <c r="H3">
        <v>0</v>
      </c>
      <c r="I3">
        <v>2</v>
      </c>
      <c r="J3">
        <v>1</v>
      </c>
      <c r="K3">
        <v>2</v>
      </c>
      <c r="L3" s="3">
        <f t="shared" ref="L3:L11" si="1">SUM(F3:K3)</f>
        <v>8</v>
      </c>
      <c r="M3" s="2">
        <f t="shared" ref="M3:M12" si="2">F3/$L3</f>
        <v>0</v>
      </c>
      <c r="N3" s="5">
        <f t="shared" ref="N3:N12" si="3">G3/$L3</f>
        <v>0.375</v>
      </c>
      <c r="O3" s="2">
        <f t="shared" ref="O3:O12" si="4">H3/$L3</f>
        <v>0</v>
      </c>
      <c r="P3" s="2">
        <f t="shared" ref="P3:P12" si="5">I3/$L3</f>
        <v>0.25</v>
      </c>
      <c r="Q3" s="2">
        <f t="shared" ref="Q3:Q12" si="6">J3/$L3</f>
        <v>0.125</v>
      </c>
      <c r="R3" s="2">
        <f t="shared" ref="R3:R12" si="7">K3/$L3</f>
        <v>0.25</v>
      </c>
    </row>
    <row r="4" spans="1:18" x14ac:dyDescent="0.2">
      <c r="A4" t="s">
        <v>29</v>
      </c>
      <c r="B4" t="s">
        <v>9</v>
      </c>
      <c r="C4" s="2">
        <v>0.16666666666666666</v>
      </c>
      <c r="D4" s="2">
        <v>0.66666666666666663</v>
      </c>
      <c r="E4" s="2">
        <v>0.16666666666666666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 s="3">
        <f t="shared" si="1"/>
        <v>3</v>
      </c>
      <c r="M4" s="2">
        <f t="shared" si="2"/>
        <v>0</v>
      </c>
      <c r="N4" s="5">
        <f t="shared" si="3"/>
        <v>0.33333333333333331</v>
      </c>
      <c r="O4" s="2">
        <f t="shared" si="4"/>
        <v>0.33333333333333331</v>
      </c>
      <c r="P4" s="2">
        <f t="shared" si="5"/>
        <v>0.33333333333333331</v>
      </c>
      <c r="Q4" s="2">
        <f t="shared" si="6"/>
        <v>0</v>
      </c>
      <c r="R4" s="2">
        <f t="shared" si="7"/>
        <v>0</v>
      </c>
    </row>
    <row r="5" spans="1:18" x14ac:dyDescent="0.2">
      <c r="A5" t="s">
        <v>23</v>
      </c>
      <c r="B5" t="s">
        <v>10</v>
      </c>
      <c r="C5" s="2">
        <v>0.73684210526315785</v>
      </c>
      <c r="D5" s="2">
        <v>0.10526315789473684</v>
      </c>
      <c r="E5" s="2">
        <v>0.15789473684210525</v>
      </c>
      <c r="F5">
        <v>0</v>
      </c>
      <c r="G5">
        <v>3</v>
      </c>
      <c r="H5">
        <v>0</v>
      </c>
      <c r="I5">
        <v>1</v>
      </c>
      <c r="J5">
        <v>1</v>
      </c>
      <c r="K5">
        <v>4</v>
      </c>
      <c r="L5" s="3">
        <f t="shared" si="1"/>
        <v>9</v>
      </c>
      <c r="M5" s="2">
        <f t="shared" si="2"/>
        <v>0</v>
      </c>
      <c r="N5" s="5">
        <f t="shared" si="3"/>
        <v>0.33333333333333331</v>
      </c>
      <c r="O5" s="2">
        <f t="shared" si="4"/>
        <v>0</v>
      </c>
      <c r="P5" s="2">
        <f t="shared" si="5"/>
        <v>0.1111111111111111</v>
      </c>
      <c r="Q5" s="2">
        <f t="shared" si="6"/>
        <v>0.1111111111111111</v>
      </c>
      <c r="R5" s="2">
        <f t="shared" si="7"/>
        <v>0.44444444444444442</v>
      </c>
    </row>
    <row r="6" spans="1:18" x14ac:dyDescent="0.2">
      <c r="A6" s="8" t="s">
        <v>24</v>
      </c>
      <c r="B6" s="8" t="s">
        <v>11</v>
      </c>
      <c r="C6" s="2">
        <v>0.33821871476888382</v>
      </c>
      <c r="D6" s="2">
        <v>0.21082299887260428</v>
      </c>
      <c r="E6" s="2">
        <v>0.45095828635851176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 s="3">
        <f t="shared" si="1"/>
        <v>3</v>
      </c>
      <c r="M6" s="2">
        <f t="shared" si="2"/>
        <v>0</v>
      </c>
      <c r="N6" s="5">
        <f t="shared" si="3"/>
        <v>0.33333333333333331</v>
      </c>
      <c r="O6" s="2">
        <f t="shared" si="4"/>
        <v>0</v>
      </c>
      <c r="P6" s="2">
        <f t="shared" si="5"/>
        <v>0.33333333333333331</v>
      </c>
      <c r="Q6" s="2">
        <f t="shared" si="6"/>
        <v>0.33333333333333331</v>
      </c>
      <c r="R6" s="2">
        <f t="shared" si="7"/>
        <v>0</v>
      </c>
    </row>
    <row r="7" spans="1:18" x14ac:dyDescent="0.2">
      <c r="A7" t="s">
        <v>26</v>
      </c>
      <c r="B7" t="s">
        <v>12</v>
      </c>
      <c r="C7" s="2">
        <v>0.66666666666666663</v>
      </c>
      <c r="D7" s="2">
        <v>8.3333333333333329E-2</v>
      </c>
      <c r="E7" s="2">
        <v>0.25</v>
      </c>
      <c r="F7">
        <v>0</v>
      </c>
      <c r="G7">
        <v>3</v>
      </c>
      <c r="H7">
        <v>0</v>
      </c>
      <c r="I7">
        <v>0</v>
      </c>
      <c r="J7">
        <v>0</v>
      </c>
      <c r="K7">
        <v>2</v>
      </c>
      <c r="L7" s="3">
        <f t="shared" si="1"/>
        <v>5</v>
      </c>
      <c r="M7" s="2">
        <f t="shared" si="2"/>
        <v>0</v>
      </c>
      <c r="N7" s="5">
        <f t="shared" si="3"/>
        <v>0.6</v>
      </c>
      <c r="O7" s="2">
        <f t="shared" si="4"/>
        <v>0</v>
      </c>
      <c r="P7" s="2">
        <f t="shared" si="5"/>
        <v>0</v>
      </c>
      <c r="Q7" s="2">
        <f t="shared" si="6"/>
        <v>0</v>
      </c>
      <c r="R7" s="2">
        <f t="shared" si="7"/>
        <v>0.4</v>
      </c>
    </row>
    <row r="8" spans="1:18" x14ac:dyDescent="0.2">
      <c r="A8" t="s">
        <v>25</v>
      </c>
      <c r="B8" t="s">
        <v>13</v>
      </c>
      <c r="C8" s="2">
        <v>0.7</v>
      </c>
      <c r="D8" s="2">
        <v>0.15</v>
      </c>
      <c r="E8" s="2">
        <v>0.15</v>
      </c>
      <c r="F8">
        <v>0</v>
      </c>
      <c r="G8">
        <v>5</v>
      </c>
      <c r="H8">
        <v>1</v>
      </c>
      <c r="I8">
        <v>1</v>
      </c>
      <c r="J8">
        <v>2</v>
      </c>
      <c r="K8">
        <v>3</v>
      </c>
      <c r="L8" s="3">
        <f t="shared" si="1"/>
        <v>12</v>
      </c>
      <c r="M8" s="2">
        <f t="shared" si="2"/>
        <v>0</v>
      </c>
      <c r="N8" s="5">
        <f t="shared" si="3"/>
        <v>0.41666666666666669</v>
      </c>
      <c r="O8" s="2">
        <f t="shared" si="4"/>
        <v>8.3333333333333329E-2</v>
      </c>
      <c r="P8" s="2">
        <f t="shared" si="5"/>
        <v>8.3333333333333329E-2</v>
      </c>
      <c r="Q8" s="2">
        <f t="shared" si="6"/>
        <v>0.16666666666666666</v>
      </c>
      <c r="R8" s="2">
        <f t="shared" si="7"/>
        <v>0.25</v>
      </c>
    </row>
    <row r="9" spans="1:18" x14ac:dyDescent="0.2">
      <c r="A9" t="s">
        <v>30</v>
      </c>
      <c r="B9" t="s">
        <v>14</v>
      </c>
      <c r="C9" s="2">
        <v>0.18181818181818182</v>
      </c>
      <c r="D9" s="2">
        <v>9.0909090909090912E-2</v>
      </c>
      <c r="E9" s="2">
        <v>0.72727272727272729</v>
      </c>
      <c r="F9">
        <v>0</v>
      </c>
      <c r="G9">
        <v>0</v>
      </c>
      <c r="H9">
        <v>0</v>
      </c>
      <c r="I9">
        <v>1</v>
      </c>
      <c r="J9">
        <v>2</v>
      </c>
      <c r="K9">
        <v>1</v>
      </c>
      <c r="L9" s="3">
        <f t="shared" si="1"/>
        <v>4</v>
      </c>
      <c r="M9" s="2">
        <f t="shared" si="2"/>
        <v>0</v>
      </c>
      <c r="N9" s="5">
        <f t="shared" si="3"/>
        <v>0</v>
      </c>
      <c r="O9" s="2">
        <f t="shared" si="4"/>
        <v>0</v>
      </c>
      <c r="P9" s="2">
        <f t="shared" si="5"/>
        <v>0.25</v>
      </c>
      <c r="Q9" s="2">
        <f t="shared" si="6"/>
        <v>0.5</v>
      </c>
      <c r="R9" s="2">
        <f t="shared" si="7"/>
        <v>0.25</v>
      </c>
    </row>
    <row r="10" spans="1:18" x14ac:dyDescent="0.2">
      <c r="A10" t="s">
        <v>27</v>
      </c>
      <c r="B10" t="s">
        <v>15</v>
      </c>
      <c r="C10" s="2">
        <v>0.14285714285714285</v>
      </c>
      <c r="D10" s="2">
        <v>0.14285714285714285</v>
      </c>
      <c r="E10" s="2">
        <v>0.7142857142857143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 s="3">
        <f t="shared" si="1"/>
        <v>2</v>
      </c>
      <c r="M10" s="2">
        <f t="shared" si="2"/>
        <v>0</v>
      </c>
      <c r="N10" s="5">
        <f t="shared" si="3"/>
        <v>0</v>
      </c>
      <c r="O10" s="2">
        <f t="shared" si="4"/>
        <v>0</v>
      </c>
      <c r="P10" s="2">
        <f t="shared" si="5"/>
        <v>0.5</v>
      </c>
      <c r="Q10" s="2">
        <f t="shared" si="6"/>
        <v>0</v>
      </c>
      <c r="R10" s="2">
        <f t="shared" si="7"/>
        <v>0.5</v>
      </c>
    </row>
    <row r="11" spans="1:18" x14ac:dyDescent="0.2">
      <c r="A11" t="s">
        <v>28</v>
      </c>
      <c r="B11" t="s">
        <v>16</v>
      </c>
      <c r="C11" s="2">
        <v>0.25</v>
      </c>
      <c r="D11" s="2">
        <v>0.67</v>
      </c>
      <c r="E11" s="2">
        <v>0.08</v>
      </c>
      <c r="F11">
        <v>0</v>
      </c>
      <c r="G11">
        <v>4</v>
      </c>
      <c r="H11">
        <v>0</v>
      </c>
      <c r="I11">
        <v>6</v>
      </c>
      <c r="J11">
        <v>0</v>
      </c>
      <c r="K11">
        <v>0</v>
      </c>
      <c r="L11" s="3">
        <f t="shared" si="1"/>
        <v>10</v>
      </c>
      <c r="M11" s="2">
        <f t="shared" si="2"/>
        <v>0</v>
      </c>
      <c r="N11" s="5">
        <f t="shared" si="3"/>
        <v>0.4</v>
      </c>
      <c r="O11" s="2">
        <f t="shared" si="4"/>
        <v>0</v>
      </c>
      <c r="P11" s="2">
        <f t="shared" si="5"/>
        <v>0.6</v>
      </c>
      <c r="Q11" s="2">
        <f t="shared" si="6"/>
        <v>0</v>
      </c>
      <c r="R11" s="2">
        <f t="shared" si="7"/>
        <v>0</v>
      </c>
    </row>
    <row r="12" spans="1:18" x14ac:dyDescent="0.2">
      <c r="A12" t="s">
        <v>48</v>
      </c>
      <c r="B12" t="s">
        <v>44</v>
      </c>
      <c r="C12" s="2">
        <v>0</v>
      </c>
      <c r="D12" s="6">
        <v>0.25</v>
      </c>
      <c r="E12" s="6">
        <v>0.75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 s="3">
        <f>SUM(F12:K12)</f>
        <v>2</v>
      </c>
      <c r="M12" s="2">
        <f t="shared" si="2"/>
        <v>0</v>
      </c>
      <c r="N12" s="5">
        <f t="shared" si="3"/>
        <v>0</v>
      </c>
      <c r="O12" s="2">
        <f t="shared" si="4"/>
        <v>0</v>
      </c>
      <c r="P12" s="2">
        <f t="shared" si="5"/>
        <v>1</v>
      </c>
      <c r="Q12" s="2">
        <f t="shared" si="6"/>
        <v>0</v>
      </c>
      <c r="R12" s="2">
        <f t="shared" si="7"/>
        <v>0</v>
      </c>
    </row>
    <row r="13" spans="1:18" x14ac:dyDescent="0.2">
      <c r="A13" t="s">
        <v>48</v>
      </c>
      <c r="B13" t="s">
        <v>45</v>
      </c>
      <c r="C13" s="2">
        <v>0</v>
      </c>
      <c r="D13" s="6">
        <v>0.25</v>
      </c>
      <c r="E13" s="6">
        <v>0.75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 s="3">
        <f>SUM(F13:K13)</f>
        <v>2</v>
      </c>
      <c r="M13" s="2">
        <f t="shared" ref="M13:M15" si="8">F13/$L13</f>
        <v>0</v>
      </c>
      <c r="N13" s="5">
        <f t="shared" ref="N13:N15" si="9">G13/$L13</f>
        <v>0</v>
      </c>
      <c r="O13" s="2">
        <f t="shared" ref="O13:O15" si="10">H13/$L13</f>
        <v>0</v>
      </c>
      <c r="P13" s="2">
        <f t="shared" ref="P13:P15" si="11">I13/$L13</f>
        <v>1</v>
      </c>
      <c r="Q13" s="2">
        <f t="shared" ref="Q13:Q15" si="12">J13/$L13</f>
        <v>0</v>
      </c>
      <c r="R13" s="2">
        <f t="shared" ref="R13:R15" si="13">K13/$L13</f>
        <v>0</v>
      </c>
    </row>
    <row r="14" spans="1:18" x14ac:dyDescent="0.2">
      <c r="A14" t="s">
        <v>49</v>
      </c>
      <c r="B14" t="s">
        <v>46</v>
      </c>
      <c r="C14" s="2">
        <v>0</v>
      </c>
      <c r="D14" s="6">
        <v>0.33333000000000002</v>
      </c>
      <c r="E14" s="6">
        <v>0.66666999999999998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 s="3">
        <f>SUM(F14:K14)</f>
        <v>2</v>
      </c>
      <c r="M14" s="2">
        <f t="shared" si="8"/>
        <v>0</v>
      </c>
      <c r="N14" s="5">
        <f t="shared" si="9"/>
        <v>0</v>
      </c>
      <c r="O14" s="2">
        <f t="shared" si="10"/>
        <v>0</v>
      </c>
      <c r="P14" s="2">
        <f t="shared" si="11"/>
        <v>1</v>
      </c>
      <c r="Q14" s="2">
        <f t="shared" si="12"/>
        <v>0</v>
      </c>
      <c r="R14" s="2">
        <f t="shared" si="13"/>
        <v>0</v>
      </c>
    </row>
    <row r="15" spans="1:18" x14ac:dyDescent="0.2">
      <c r="A15" t="s">
        <v>48</v>
      </c>
      <c r="B15" t="s">
        <v>47</v>
      </c>
      <c r="C15" s="2">
        <v>0</v>
      </c>
      <c r="D15" s="6">
        <v>0.25</v>
      </c>
      <c r="E15" s="6">
        <v>0.75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 s="7">
        <v>2</v>
      </c>
      <c r="M15" s="2">
        <f t="shared" si="8"/>
        <v>0</v>
      </c>
      <c r="N15" s="5">
        <f t="shared" si="9"/>
        <v>0</v>
      </c>
      <c r="O15" s="2">
        <f t="shared" si="10"/>
        <v>0</v>
      </c>
      <c r="P15" s="2">
        <f t="shared" si="11"/>
        <v>1</v>
      </c>
      <c r="Q15" s="2">
        <f t="shared" si="12"/>
        <v>0</v>
      </c>
      <c r="R15" s="2">
        <f t="shared" si="13"/>
        <v>0</v>
      </c>
    </row>
    <row r="16" spans="1:18" x14ac:dyDescent="0.2">
      <c r="A16" t="s">
        <v>41</v>
      </c>
      <c r="L16" t="s">
        <v>38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 t="s">
        <v>42</v>
      </c>
      <c r="L17" t="s">
        <v>39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</row>
    <row r="18" spans="1:18" x14ac:dyDescent="0.2">
      <c r="A18" t="s">
        <v>43</v>
      </c>
      <c r="L18" t="s">
        <v>40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tast</cp:lastModifiedBy>
  <dcterms:created xsi:type="dcterms:W3CDTF">2024-05-26T21:59:01Z</dcterms:created>
  <dcterms:modified xsi:type="dcterms:W3CDTF">2024-05-31T21:15:55Z</dcterms:modified>
</cp:coreProperties>
</file>